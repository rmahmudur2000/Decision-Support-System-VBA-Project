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028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ahmudur Rahman\Desktop\MBA 543 Project\"/>
    </mc:Choice>
  </mc:AlternateContent>
  <xr:revisionPtr revIDLastSave="0" documentId="8_{FC063516-DE4F-409F-B1E3-041F2375BC50}" xr6:coauthVersionLast="47" xr6:coauthVersionMax="47" xr10:uidLastSave="{00000000-0000-0000-0000-000000000000}"/>
  <bookViews>
    <workbookView xWindow="-98" yWindow="-98" windowWidth="19396" windowHeight="11596" xr2:uid="{00000000-000D-0000-FFFF-FFFF00000000}"/>
  </bookViews>
  <sheets>
    <sheet name="Model" sheetId="3" r:id="rId1"/>
    <sheet name="Answer Report 1" sheetId="10" r:id="rId2"/>
    <sheet name="Sensitivity Report 1" sheetId="11" r:id="rId3"/>
  </sheets>
  <definedNames>
    <definedName name="anscount" hidden="1">4</definedName>
    <definedName name="sencount" hidden="1">3</definedName>
    <definedName name="solver_adj" localSheetId="0" hidden="1">Model!$B$13:$C$13</definedName>
    <definedName name="solver_cvg" localSheetId="0" hidden="1">0.001</definedName>
    <definedName name="solver_drv" localSheetId="0" hidden="1">1</definedName>
    <definedName name="solver_eng" localSheetId="0" hidden="1">2</definedName>
    <definedName name="solver_est" localSheetId="0" hidden="1">1</definedName>
    <definedName name="solver_ibd" localSheetId="0" hidden="1">2</definedName>
    <definedName name="solver_itr" localSheetId="0" hidden="1">100</definedName>
    <definedName name="solver_lhs1" localSheetId="0" hidden="1">Model!$B$17:$B$19</definedName>
    <definedName name="solver_lhs2" localSheetId="0" hidden="1">Model!$B$13:$C$13</definedName>
    <definedName name="solver_lin" localSheetId="0" hidden="1">1</definedName>
    <definedName name="solver_mip" localSheetId="0" hidden="1">1000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1000</definedName>
    <definedName name="solver_num" localSheetId="0" hidden="1">1</definedName>
    <definedName name="solver_nwt" localSheetId="0" hidden="1">1</definedName>
    <definedName name="solver_ofx" localSheetId="0" hidden="1">2</definedName>
    <definedName name="solver_opt" localSheetId="0" hidden="1">Model!$D$14</definedName>
    <definedName name="solver_piv" localSheetId="0" hidden="1">0.000001</definedName>
    <definedName name="solver_pre" localSheetId="0" hidden="1">0.000001</definedName>
    <definedName name="solver_pro" localSheetId="0" hidden="1">2</definedName>
    <definedName name="solver_rbv" localSheetId="0" hidden="1">1</definedName>
    <definedName name="solver_red" localSheetId="0" hidden="1">0.000001</definedName>
    <definedName name="solver_rel1" localSheetId="0" hidden="1">1</definedName>
    <definedName name="solver_rel2" localSheetId="0" hidden="1">3</definedName>
    <definedName name="solver_reo" localSheetId="0" hidden="1">2</definedName>
    <definedName name="solver_rep" localSheetId="0" hidden="1">2</definedName>
    <definedName name="solver_rhs1" localSheetId="0" hidden="1">Model!$D$17:$D$19</definedName>
    <definedName name="solver_rhs2" localSheetId="0" hidden="1">0</definedName>
    <definedName name="solver_rlx" localSheetId="0" hidden="1">2</definedName>
    <definedName name="solver_rsd" localSheetId="0" hidden="1">0</definedName>
    <definedName name="solver_scl" localSheetId="0" hidden="1">2</definedName>
    <definedName name="solver_sho" localSheetId="0" hidden="1">2</definedName>
    <definedName name="solver_ssz" localSheetId="0" hidden="1">100</definedName>
    <definedName name="solver_tim" localSheetId="0" hidden="1">100</definedName>
    <definedName name="solver_tmp" localSheetId="0" hidden="1">0</definedName>
    <definedName name="solver_tol" localSheetId="0" hidden="1">0.05</definedName>
    <definedName name="solver_typ" localSheetId="0" hidden="1">1</definedName>
    <definedName name="solver_val" localSheetId="0" hidden="1">0</definedName>
    <definedName name="solver_ver" localSheetId="0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14" i="3" l="1"/>
  <c r="B14" i="3"/>
  <c r="B17" i="3"/>
  <c r="D17" i="3"/>
  <c r="B18" i="3"/>
  <c r="D18" i="3"/>
  <c r="B19" i="3"/>
  <c r="D19" i="3"/>
  <c r="D14" i="3" l="1"/>
</calcChain>
</file>

<file path=xl/sharedStrings.xml><?xml version="1.0" encoding="utf-8"?>
<sst xmlns="http://schemas.openxmlformats.org/spreadsheetml/2006/main" count="118" uniqueCount="70">
  <si>
    <t>Cell</t>
  </si>
  <si>
    <t>Name</t>
  </si>
  <si>
    <t>Original Value</t>
  </si>
  <si>
    <t>Final Value</t>
  </si>
  <si>
    <t>Profit Total</t>
  </si>
  <si>
    <t>Constraints</t>
  </si>
  <si>
    <t>Cell Value</t>
  </si>
  <si>
    <t>Formula</t>
  </si>
  <si>
    <t>Status</t>
  </si>
  <si>
    <t>Slack</t>
  </si>
  <si>
    <t>Binding</t>
  </si>
  <si>
    <t>Not Binding</t>
  </si>
  <si>
    <t>Final</t>
  </si>
  <si>
    <t>Reduced</t>
  </si>
  <si>
    <t>Objective</t>
  </si>
  <si>
    <t>Allowable</t>
  </si>
  <si>
    <t>Value</t>
  </si>
  <si>
    <t>Cost</t>
  </si>
  <si>
    <t>Coefficient</t>
  </si>
  <si>
    <t>Increase</t>
  </si>
  <si>
    <t>Decrease</t>
  </si>
  <si>
    <t>Shadow</t>
  </si>
  <si>
    <t>Constraint</t>
  </si>
  <si>
    <t>Price</t>
  </si>
  <si>
    <t>R.H. Side</t>
  </si>
  <si>
    <t>OBJECTIVE</t>
  </si>
  <si>
    <t>CONSTRAINTS</t>
  </si>
  <si>
    <t>RHS</t>
  </si>
  <si>
    <t>&lt;=</t>
  </si>
  <si>
    <t>Total</t>
  </si>
  <si>
    <t>No. of Units</t>
  </si>
  <si>
    <t>Profit</t>
  </si>
  <si>
    <t>LHS</t>
  </si>
  <si>
    <t>$D$14</t>
  </si>
  <si>
    <t>$B$13</t>
  </si>
  <si>
    <t>$C$13</t>
  </si>
  <si>
    <t>$B$17</t>
  </si>
  <si>
    <t>$B$17&lt;=$D$17</t>
  </si>
  <si>
    <t>$B$18</t>
  </si>
  <si>
    <t>$B$18&lt;=$D$18</t>
  </si>
  <si>
    <t>$B$19</t>
  </si>
  <si>
    <t>$B$19&lt;=$D$19</t>
  </si>
  <si>
    <t xml:space="preserve">Porsche Club of America </t>
  </si>
  <si>
    <t>DRB</t>
  </si>
  <si>
    <t>DRW</t>
  </si>
  <si>
    <t>Manufacturing minutes</t>
  </si>
  <si>
    <t>Assembly Minutes</t>
  </si>
  <si>
    <t>Steel Available</t>
  </si>
  <si>
    <t>Microsoft Excel 16.0 Answer Report</t>
  </si>
  <si>
    <t>Worksheet: [USB DSS VBA Code with Formatting and Error Trapping.xlsm]Model</t>
  </si>
  <si>
    <t>Result: Solver found a solution.  All Constraints and optimality conditions are satisfied.</t>
  </si>
  <si>
    <t>Solver Engine</t>
  </si>
  <si>
    <t>Engine: Simplex LP</t>
  </si>
  <si>
    <t>Solution Time: 0.016 Seconds.</t>
  </si>
  <si>
    <t>Iterations: 2 Subproblems: 0</t>
  </si>
  <si>
    <t>Solver Options</t>
  </si>
  <si>
    <t>Max Time 100 sec,  Iterations 100, Precision 0.000001</t>
  </si>
  <si>
    <t>Max Subproblems 1000, Max Integer Sols 1000, Integer Tolerance 5%, Assume NonNegative</t>
  </si>
  <si>
    <t>Objective Cell (Max)</t>
  </si>
  <si>
    <t>Variable Cells</t>
  </si>
  <si>
    <t>Integer</t>
  </si>
  <si>
    <t>No. of Units DRB</t>
  </si>
  <si>
    <t>Contin</t>
  </si>
  <si>
    <t>No. of Units DRW</t>
  </si>
  <si>
    <t>Steel Available LHS</t>
  </si>
  <si>
    <t>Manufacturing minutes LHS</t>
  </si>
  <si>
    <t>Assembly Minutes LHS</t>
  </si>
  <si>
    <t>Microsoft Excel 16.0 Sensitivity Report</t>
  </si>
  <si>
    <t>Report Created: 4/25/2022 11:44:00 AM</t>
  </si>
  <si>
    <t>Manufacturing Minutes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</si>
</sst>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.00"/>
  </numFmts>
  <fonts count="3" x14ac:knownFonts="1">
    <font>
      <sz val="10"/>
      <name val="Arial"/>
    </font>
    <font>
      <b/>
      <sz val="10"/>
      <name val="Arial"/>
      <family val="2"/>
    </font>
    <font>
      <b/>
      <sz val="10"/>
      <color indexed="18"/>
      <name val="Arial"/>
      <family val="2"/>
    </font>
  </fonts>
  <fills count="2">
    <fill>
      <patternFill patternType="none"/>
    </fill>
    <fill>
      <patternFill patternType="gray125"/>
    </fill>
  </fills>
  <borders count="23">
    <border>
      <left/>
      <right/>
      <top/>
      <bottom/>
      <diagonal/>
    </border>
    <border>
      <left/>
      <right/>
      <top style="thin">
        <color indexed="23"/>
      </top>
      <bottom style="medium">
        <color indexed="23"/>
      </bottom>
      <diagonal/>
    </border>
    <border>
      <left/>
      <right/>
      <top style="thin">
        <color indexed="23"/>
      </top>
      <bottom/>
      <diagonal/>
    </border>
    <border>
      <left style="thin">
        <color indexed="10"/>
      </left>
      <right style="thin">
        <color indexed="10"/>
      </right>
      <top style="thin">
        <color indexed="10"/>
      </top>
      <bottom style="thin">
        <color indexed="10"/>
      </bottom>
      <diagonal/>
    </border>
    <border>
      <left style="thin">
        <color indexed="10"/>
      </left>
      <right/>
      <top style="thin">
        <color indexed="10"/>
      </top>
      <bottom/>
      <diagonal/>
    </border>
    <border>
      <left/>
      <right/>
      <top style="thin">
        <color indexed="10"/>
      </top>
      <bottom/>
      <diagonal/>
    </border>
    <border>
      <left/>
      <right style="thin">
        <color indexed="10"/>
      </right>
      <top style="thin">
        <color indexed="10"/>
      </top>
      <bottom/>
      <diagonal/>
    </border>
    <border>
      <left style="thin">
        <color indexed="10"/>
      </left>
      <right/>
      <top/>
      <bottom style="thin">
        <color indexed="10"/>
      </bottom>
      <diagonal/>
    </border>
    <border>
      <left/>
      <right/>
      <top/>
      <bottom style="thin">
        <color indexed="10"/>
      </bottom>
      <diagonal/>
    </border>
    <border>
      <left/>
      <right style="thin">
        <color indexed="10"/>
      </right>
      <top/>
      <bottom style="thin">
        <color indexed="10"/>
      </bottom>
      <diagonal/>
    </border>
    <border>
      <left style="thin">
        <color indexed="10"/>
      </left>
      <right/>
      <top/>
      <bottom/>
      <diagonal/>
    </border>
    <border>
      <left/>
      <right style="thin">
        <color indexed="10"/>
      </right>
      <top/>
      <bottom/>
      <diagonal/>
    </border>
    <border>
      <left style="thin">
        <color indexed="12"/>
      </left>
      <right/>
      <top style="thin">
        <color indexed="12"/>
      </top>
      <bottom/>
      <diagonal/>
    </border>
    <border>
      <left/>
      <right/>
      <top style="thin">
        <color indexed="12"/>
      </top>
      <bottom/>
      <diagonal/>
    </border>
    <border>
      <left/>
      <right style="thin">
        <color indexed="12"/>
      </right>
      <top style="thin">
        <color indexed="12"/>
      </top>
      <bottom/>
      <diagonal/>
    </border>
    <border>
      <left style="thin">
        <color indexed="12"/>
      </left>
      <right/>
      <top/>
      <bottom/>
      <diagonal/>
    </border>
    <border>
      <left/>
      <right style="thin">
        <color indexed="12"/>
      </right>
      <top/>
      <bottom/>
      <diagonal/>
    </border>
    <border>
      <left style="thin">
        <color indexed="12"/>
      </left>
      <right/>
      <top/>
      <bottom style="thin">
        <color indexed="12"/>
      </bottom>
      <diagonal/>
    </border>
    <border>
      <left/>
      <right/>
      <top/>
      <bottom style="thin">
        <color indexed="12"/>
      </bottom>
      <diagonal/>
    </border>
    <border>
      <left/>
      <right style="thin">
        <color indexed="12"/>
      </right>
      <top/>
      <bottom style="thin">
        <color indexed="12"/>
      </bottom>
      <diagonal/>
    </border>
    <border>
      <left/>
      <right/>
      <top style="medium">
        <color indexed="23"/>
      </top>
      <bottom style="medium">
        <color indexed="23"/>
      </bottom>
      <diagonal/>
    </border>
    <border>
      <left/>
      <right/>
      <top style="medium">
        <color indexed="23"/>
      </top>
      <bottom/>
      <diagonal/>
    </border>
    <border>
      <left/>
      <right/>
      <top/>
      <bottom style="medium">
        <color indexed="23"/>
      </bottom>
      <diagonal/>
    </border>
  </borders>
  <cellStyleXfs count="1">
    <xf numFmtId="0" fontId="0" fillId="0" borderId="0"/>
  </cellStyleXfs>
  <cellXfs count="34">
    <xf numFmtId="0" fontId="0" fillId="0" borderId="0" xfId="0"/>
    <xf numFmtId="0" fontId="0" fillId="0" borderId="1" xfId="0" applyFill="1" applyBorder="1" applyAlignment="1"/>
    <xf numFmtId="0" fontId="0" fillId="0" borderId="2" xfId="0" applyFill="1" applyBorder="1" applyAlignment="1"/>
    <xf numFmtId="0" fontId="0" fillId="0" borderId="1" xfId="0" applyNumberFormat="1" applyFill="1" applyBorder="1" applyAlignment="1"/>
    <xf numFmtId="0" fontId="0" fillId="0" borderId="2" xfId="0" applyNumberFormat="1" applyFill="1" applyBorder="1" applyAlignment="1"/>
    <xf numFmtId="0" fontId="1" fillId="0" borderId="0" xfId="0" applyFont="1"/>
    <xf numFmtId="0" fontId="1" fillId="0" borderId="3" xfId="0" applyFont="1" applyFill="1" applyBorder="1"/>
    <xf numFmtId="0" fontId="1" fillId="0" borderId="0" xfId="0" applyFont="1" applyFill="1"/>
    <xf numFmtId="0" fontId="0" fillId="0" borderId="0" xfId="0" applyFill="1"/>
    <xf numFmtId="0" fontId="1" fillId="0" borderId="4" xfId="0" applyFont="1" applyFill="1" applyBorder="1"/>
    <xf numFmtId="0" fontId="1" fillId="0" borderId="5" xfId="0" applyFont="1" applyFill="1" applyBorder="1"/>
    <xf numFmtId="0" fontId="1" fillId="0" borderId="6" xfId="0" applyFont="1" applyFill="1" applyBorder="1"/>
    <xf numFmtId="0" fontId="1" fillId="0" borderId="7" xfId="0" applyFont="1" applyFill="1" applyBorder="1"/>
    <xf numFmtId="0" fontId="1" fillId="0" borderId="8" xfId="0" applyFont="1" applyFill="1" applyBorder="1"/>
    <xf numFmtId="0" fontId="1" fillId="0" borderId="9" xfId="0" applyFont="1" applyFill="1" applyBorder="1"/>
    <xf numFmtId="0" fontId="1" fillId="0" borderId="10" xfId="0" applyFont="1" applyFill="1" applyBorder="1"/>
    <xf numFmtId="0" fontId="1" fillId="0" borderId="0" xfId="0" applyFont="1" applyFill="1" applyBorder="1"/>
    <xf numFmtId="0" fontId="1" fillId="0" borderId="12" xfId="0" applyFont="1" applyFill="1" applyBorder="1"/>
    <xf numFmtId="0" fontId="1" fillId="0" borderId="13" xfId="0" applyFont="1" applyFill="1" applyBorder="1"/>
    <xf numFmtId="0" fontId="1" fillId="0" borderId="14" xfId="0" applyFont="1" applyFill="1" applyBorder="1"/>
    <xf numFmtId="0" fontId="1" fillId="0" borderId="15" xfId="0" applyFont="1" applyFill="1" applyBorder="1"/>
    <xf numFmtId="0" fontId="1" fillId="0" borderId="16" xfId="0" applyFont="1" applyFill="1" applyBorder="1"/>
    <xf numFmtId="0" fontId="1" fillId="0" borderId="17" xfId="0" applyFont="1" applyFill="1" applyBorder="1"/>
    <xf numFmtId="0" fontId="1" fillId="0" borderId="18" xfId="0" applyFont="1" applyFill="1" applyBorder="1"/>
    <xf numFmtId="0" fontId="1" fillId="0" borderId="19" xfId="0" applyFont="1" applyFill="1" applyBorder="1"/>
    <xf numFmtId="0" fontId="2" fillId="0" borderId="20" xfId="0" applyFont="1" applyFill="1" applyBorder="1" applyAlignment="1">
      <alignment horizontal="center"/>
    </xf>
    <xf numFmtId="0" fontId="2" fillId="0" borderId="21" xfId="0" applyFont="1" applyFill="1" applyBorder="1" applyAlignment="1">
      <alignment horizontal="center"/>
    </xf>
    <xf numFmtId="0" fontId="2" fillId="0" borderId="22" xfId="0" applyFont="1" applyFill="1" applyBorder="1" applyAlignment="1">
      <alignment horizontal="center"/>
    </xf>
    <xf numFmtId="164" fontId="1" fillId="0" borderId="18" xfId="0" applyNumberFormat="1" applyFont="1" applyFill="1" applyBorder="1"/>
    <xf numFmtId="164" fontId="1" fillId="0" borderId="19" xfId="0" applyNumberFormat="1" applyFont="1" applyFill="1" applyBorder="1"/>
    <xf numFmtId="164" fontId="1" fillId="0" borderId="8" xfId="0" applyNumberFormat="1" applyFont="1" applyFill="1" applyBorder="1"/>
    <xf numFmtId="164" fontId="1" fillId="0" borderId="9" xfId="0" applyNumberFormat="1" applyFont="1" applyFill="1" applyBorder="1"/>
    <xf numFmtId="164" fontId="0" fillId="0" borderId="1" xfId="0" applyNumberFormat="1" applyFill="1" applyBorder="1" applyAlignment="1"/>
    <xf numFmtId="3" fontId="1" fillId="0" borderId="11" xfId="0" applyNumberFormat="1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20"/>
  <sheetViews>
    <sheetView tabSelected="1" workbookViewId="0">
      <selection activeCell="A11" sqref="A11"/>
    </sheetView>
  </sheetViews>
  <sheetFormatPr defaultColWidth="9.1328125" defaultRowHeight="12.75" x14ac:dyDescent="0.35"/>
  <cols>
    <col min="1" max="1" width="23.265625" style="8" customWidth="1"/>
    <col min="2" max="4" width="10.796875" style="8" bestFit="1" customWidth="1"/>
    <col min="5" max="16384" width="9.1328125" style="8"/>
  </cols>
  <sheetData>
    <row r="1" spans="1:5" ht="13.15" x14ac:dyDescent="0.4">
      <c r="A1" s="6" t="s">
        <v>42</v>
      </c>
      <c r="B1" s="7"/>
      <c r="C1" s="7"/>
      <c r="D1" s="7"/>
      <c r="E1" s="7"/>
    </row>
    <row r="2" spans="1:5" ht="13.15" x14ac:dyDescent="0.4">
      <c r="A2" s="7"/>
      <c r="B2" s="7"/>
      <c r="C2" s="7"/>
      <c r="D2" s="7"/>
      <c r="E2" s="7"/>
    </row>
    <row r="3" spans="1:5" ht="13.15" x14ac:dyDescent="0.4">
      <c r="A3" s="9" t="s">
        <v>25</v>
      </c>
      <c r="B3" s="10" t="s">
        <v>43</v>
      </c>
      <c r="C3" s="11" t="s">
        <v>44</v>
      </c>
      <c r="D3" s="7"/>
      <c r="E3" s="7"/>
    </row>
    <row r="4" spans="1:5" ht="13.15" x14ac:dyDescent="0.4">
      <c r="A4" s="12" t="s">
        <v>18</v>
      </c>
      <c r="B4" s="30">
        <v>200</v>
      </c>
      <c r="C4" s="31">
        <v>280</v>
      </c>
      <c r="D4" s="7"/>
      <c r="E4" s="7"/>
    </row>
    <row r="5" spans="1:5" ht="13.15" x14ac:dyDescent="0.4">
      <c r="A5" s="7"/>
      <c r="B5" s="7"/>
      <c r="C5" s="7"/>
      <c r="D5" s="7"/>
      <c r="E5" s="7"/>
    </row>
    <row r="6" spans="1:5" ht="13.15" x14ac:dyDescent="0.4">
      <c r="A6" s="9" t="s">
        <v>26</v>
      </c>
      <c r="B6" s="10" t="s">
        <v>43</v>
      </c>
      <c r="C6" s="10" t="s">
        <v>44</v>
      </c>
      <c r="D6" s="10"/>
      <c r="E6" s="11" t="s">
        <v>27</v>
      </c>
    </row>
    <row r="7" spans="1:5" ht="13.15" x14ac:dyDescent="0.4">
      <c r="A7" s="15" t="s">
        <v>47</v>
      </c>
      <c r="B7" s="16">
        <v>20</v>
      </c>
      <c r="C7" s="16">
        <v>25</v>
      </c>
      <c r="D7" s="16" t="s">
        <v>28</v>
      </c>
      <c r="E7" s="33">
        <v>40000</v>
      </c>
    </row>
    <row r="8" spans="1:5" ht="13.15" x14ac:dyDescent="0.4">
      <c r="A8" s="15" t="s">
        <v>69</v>
      </c>
      <c r="B8" s="16">
        <v>40</v>
      </c>
      <c r="C8" s="16">
        <v>100</v>
      </c>
      <c r="D8" s="16" t="s">
        <v>28</v>
      </c>
      <c r="E8" s="33">
        <v>120000</v>
      </c>
    </row>
    <row r="9" spans="1:5" ht="13.15" x14ac:dyDescent="0.4">
      <c r="A9" s="15" t="s">
        <v>46</v>
      </c>
      <c r="B9" s="16">
        <v>60</v>
      </c>
      <c r="C9" s="16">
        <v>40</v>
      </c>
      <c r="D9" s="16" t="s">
        <v>28</v>
      </c>
      <c r="E9" s="33">
        <v>96000</v>
      </c>
    </row>
    <row r="10" spans="1:5" ht="13.15" x14ac:dyDescent="0.4">
      <c r="A10" s="12"/>
      <c r="B10" s="13"/>
      <c r="C10" s="13"/>
      <c r="D10" s="13"/>
      <c r="E10" s="14"/>
    </row>
    <row r="11" spans="1:5" ht="13.15" x14ac:dyDescent="0.4">
      <c r="A11" s="7"/>
      <c r="B11" s="7"/>
      <c r="C11" s="7"/>
      <c r="D11" s="7"/>
      <c r="E11" s="7"/>
    </row>
    <row r="12" spans="1:5" ht="13.15" x14ac:dyDescent="0.4">
      <c r="A12" s="17" t="s">
        <v>25</v>
      </c>
      <c r="B12" s="18" t="s">
        <v>43</v>
      </c>
      <c r="C12" s="18" t="s">
        <v>44</v>
      </c>
      <c r="D12" s="19" t="s">
        <v>29</v>
      </c>
      <c r="E12" s="7"/>
    </row>
    <row r="13" spans="1:5" ht="13.15" x14ac:dyDescent="0.4">
      <c r="A13" s="20" t="s">
        <v>30</v>
      </c>
      <c r="B13" s="16">
        <v>1000</v>
      </c>
      <c r="C13" s="16">
        <v>800</v>
      </c>
      <c r="D13" s="21"/>
      <c r="E13" s="7"/>
    </row>
    <row r="14" spans="1:5" ht="13.15" x14ac:dyDescent="0.4">
      <c r="A14" s="22" t="s">
        <v>31</v>
      </c>
      <c r="B14" s="28">
        <f>B4*B13</f>
        <v>200000</v>
      </c>
      <c r="C14" s="28">
        <f>C4*C13</f>
        <v>224000</v>
      </c>
      <c r="D14" s="29">
        <f>SUM(B14:C14)</f>
        <v>424000</v>
      </c>
      <c r="E14" s="7"/>
    </row>
    <row r="15" spans="1:5" ht="13.15" x14ac:dyDescent="0.4">
      <c r="A15" s="7"/>
      <c r="B15" s="7"/>
      <c r="C15" s="7"/>
      <c r="D15" s="7"/>
      <c r="E15" s="7"/>
    </row>
    <row r="16" spans="1:5" ht="13.15" x14ac:dyDescent="0.4">
      <c r="A16" s="17" t="s">
        <v>26</v>
      </c>
      <c r="B16" s="18" t="s">
        <v>32</v>
      </c>
      <c r="C16" s="18"/>
      <c r="D16" s="19" t="s">
        <v>27</v>
      </c>
      <c r="E16" s="7"/>
    </row>
    <row r="17" spans="1:5" ht="13.15" x14ac:dyDescent="0.4">
      <c r="A17" s="15" t="s">
        <v>47</v>
      </c>
      <c r="B17" s="16">
        <f>SUMPRODUCT(B7:C7,$B$13:$C$13)</f>
        <v>40000</v>
      </c>
      <c r="C17" s="16" t="s">
        <v>28</v>
      </c>
      <c r="D17" s="21">
        <f>E7</f>
        <v>40000</v>
      </c>
      <c r="E17" s="7"/>
    </row>
    <row r="18" spans="1:5" ht="13.15" x14ac:dyDescent="0.4">
      <c r="A18" s="15" t="s">
        <v>45</v>
      </c>
      <c r="B18" s="16">
        <f>SUMPRODUCT(B8:C8,$B$13:$C$13)</f>
        <v>120000</v>
      </c>
      <c r="C18" s="16" t="s">
        <v>28</v>
      </c>
      <c r="D18" s="21">
        <f>E8</f>
        <v>120000</v>
      </c>
      <c r="E18" s="7"/>
    </row>
    <row r="19" spans="1:5" ht="13.15" x14ac:dyDescent="0.4">
      <c r="A19" s="15" t="s">
        <v>46</v>
      </c>
      <c r="B19" s="16">
        <f>SUMPRODUCT(B9:C9,$B$13:$C$13)</f>
        <v>92000</v>
      </c>
      <c r="C19" s="16" t="s">
        <v>28</v>
      </c>
      <c r="D19" s="21">
        <f>E9</f>
        <v>96000</v>
      </c>
      <c r="E19" s="7"/>
    </row>
    <row r="20" spans="1:5" ht="13.15" x14ac:dyDescent="0.4">
      <c r="A20" s="22"/>
      <c r="B20" s="23"/>
      <c r="C20" s="23"/>
      <c r="D20" s="24"/>
      <c r="E20" s="7"/>
    </row>
  </sheetData>
  <phoneticPr fontId="0" type="noConversion"/>
  <printOptions gridLines="1" gridLinesSet="0"/>
  <pageMargins left="0.75" right="0.75" top="1" bottom="1" header="0.5" footer="0.5"/>
  <pageSetup orientation="portrait" horizontalDpi="200" verticalDpi="200" r:id="rId1"/>
  <headerFooter alignWithMargins="0">
    <oddHeader>&amp;A</oddHeader>
    <oddFooter>Page 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63B192-4A70-4945-9CD4-B24B8FBF6B1B}">
  <sheetPr codeName="Sheet2"/>
  <dimension ref="A1:G29"/>
  <sheetViews>
    <sheetView showGridLines="0" workbookViewId="0"/>
  </sheetViews>
  <sheetFormatPr defaultRowHeight="12.75" x14ac:dyDescent="0.35"/>
  <cols>
    <col min="1" max="1" width="2.1328125" customWidth="1"/>
    <col min="2" max="2" width="5.9296875" bestFit="1" customWidth="1"/>
    <col min="3" max="3" width="23.265625" bestFit="1" customWidth="1"/>
    <col min="4" max="4" width="13.19921875" bestFit="1" customWidth="1"/>
    <col min="5" max="5" width="13.46484375" bestFit="1" customWidth="1"/>
    <col min="6" max="6" width="10.06640625" bestFit="1" customWidth="1"/>
    <col min="7" max="7" width="5.46484375" bestFit="1" customWidth="1"/>
  </cols>
  <sheetData>
    <row r="1" spans="1:5" ht="13.15" x14ac:dyDescent="0.4">
      <c r="A1" s="5" t="s">
        <v>48</v>
      </c>
    </row>
    <row r="2" spans="1:5" ht="13.15" x14ac:dyDescent="0.4">
      <c r="A2" s="5" t="s">
        <v>49</v>
      </c>
    </row>
    <row r="3" spans="1:5" ht="13.15" x14ac:dyDescent="0.4">
      <c r="A3" s="5" t="s">
        <v>68</v>
      </c>
    </row>
    <row r="4" spans="1:5" ht="13.15" x14ac:dyDescent="0.4">
      <c r="A4" s="5" t="s">
        <v>50</v>
      </c>
    </row>
    <row r="5" spans="1:5" ht="13.15" x14ac:dyDescent="0.4">
      <c r="A5" s="5" t="s">
        <v>51</v>
      </c>
    </row>
    <row r="6" spans="1:5" ht="13.15" x14ac:dyDescent="0.4">
      <c r="A6" s="5"/>
      <c r="B6" t="s">
        <v>52</v>
      </c>
    </row>
    <row r="7" spans="1:5" ht="13.15" x14ac:dyDescent="0.4">
      <c r="A7" s="5"/>
      <c r="B7" t="s">
        <v>53</v>
      </c>
    </row>
    <row r="8" spans="1:5" ht="13.15" x14ac:dyDescent="0.4">
      <c r="A8" s="5"/>
      <c r="B8" t="s">
        <v>54</v>
      </c>
    </row>
    <row r="9" spans="1:5" ht="13.15" x14ac:dyDescent="0.4">
      <c r="A9" s="5" t="s">
        <v>55</v>
      </c>
    </row>
    <row r="10" spans="1:5" x14ac:dyDescent="0.35">
      <c r="B10" t="s">
        <v>56</v>
      </c>
    </row>
    <row r="11" spans="1:5" x14ac:dyDescent="0.35">
      <c r="B11" t="s">
        <v>57</v>
      </c>
    </row>
    <row r="14" spans="1:5" ht="13.15" thickBot="1" x14ac:dyDescent="0.4">
      <c r="A14" t="s">
        <v>58</v>
      </c>
    </row>
    <row r="15" spans="1:5" ht="13.5" thickBot="1" x14ac:dyDescent="0.45">
      <c r="B15" s="25" t="s">
        <v>0</v>
      </c>
      <c r="C15" s="25" t="s">
        <v>1</v>
      </c>
      <c r="D15" s="25" t="s">
        <v>2</v>
      </c>
      <c r="E15" s="25" t="s">
        <v>3</v>
      </c>
    </row>
    <row r="16" spans="1:5" ht="13.15" thickBot="1" x14ac:dyDescent="0.4">
      <c r="B16" s="1" t="s">
        <v>33</v>
      </c>
      <c r="C16" s="1" t="s">
        <v>4</v>
      </c>
      <c r="D16" s="32">
        <v>424000</v>
      </c>
      <c r="E16" s="32">
        <v>424000</v>
      </c>
    </row>
    <row r="19" spans="1:7" ht="13.15" thickBot="1" x14ac:dyDescent="0.4">
      <c r="A19" t="s">
        <v>59</v>
      </c>
    </row>
    <row r="20" spans="1:7" ht="13.5" thickBot="1" x14ac:dyDescent="0.45">
      <c r="B20" s="25" t="s">
        <v>0</v>
      </c>
      <c r="C20" s="25" t="s">
        <v>1</v>
      </c>
      <c r="D20" s="25" t="s">
        <v>2</v>
      </c>
      <c r="E20" s="25" t="s">
        <v>3</v>
      </c>
      <c r="F20" s="25" t="s">
        <v>60</v>
      </c>
    </row>
    <row r="21" spans="1:7" x14ac:dyDescent="0.35">
      <c r="B21" s="2" t="s">
        <v>34</v>
      </c>
      <c r="C21" s="2" t="s">
        <v>61</v>
      </c>
      <c r="D21" s="4">
        <v>1000</v>
      </c>
      <c r="E21" s="4">
        <v>1000</v>
      </c>
      <c r="F21" s="2" t="s">
        <v>62</v>
      </c>
    </row>
    <row r="22" spans="1:7" ht="13.15" thickBot="1" x14ac:dyDescent="0.4">
      <c r="B22" s="1" t="s">
        <v>35</v>
      </c>
      <c r="C22" s="1" t="s">
        <v>63</v>
      </c>
      <c r="D22" s="3">
        <v>800</v>
      </c>
      <c r="E22" s="3">
        <v>800</v>
      </c>
      <c r="F22" s="1" t="s">
        <v>62</v>
      </c>
    </row>
    <row r="25" spans="1:7" ht="13.15" thickBot="1" x14ac:dyDescent="0.4">
      <c r="A25" t="s">
        <v>5</v>
      </c>
    </row>
    <row r="26" spans="1:7" ht="13.5" thickBot="1" x14ac:dyDescent="0.45">
      <c r="B26" s="25" t="s">
        <v>0</v>
      </c>
      <c r="C26" s="25" t="s">
        <v>1</v>
      </c>
      <c r="D26" s="25" t="s">
        <v>6</v>
      </c>
      <c r="E26" s="25" t="s">
        <v>7</v>
      </c>
      <c r="F26" s="25" t="s">
        <v>8</v>
      </c>
      <c r="G26" s="25" t="s">
        <v>9</v>
      </c>
    </row>
    <row r="27" spans="1:7" x14ac:dyDescent="0.35">
      <c r="B27" s="2" t="s">
        <v>36</v>
      </c>
      <c r="C27" s="2" t="s">
        <v>64</v>
      </c>
      <c r="D27" s="4">
        <v>40000</v>
      </c>
      <c r="E27" s="2" t="s">
        <v>37</v>
      </c>
      <c r="F27" s="2" t="s">
        <v>10</v>
      </c>
      <c r="G27" s="2">
        <v>0</v>
      </c>
    </row>
    <row r="28" spans="1:7" x14ac:dyDescent="0.35">
      <c r="B28" s="2" t="s">
        <v>38</v>
      </c>
      <c r="C28" s="2" t="s">
        <v>65</v>
      </c>
      <c r="D28" s="4">
        <v>120000</v>
      </c>
      <c r="E28" s="2" t="s">
        <v>39</v>
      </c>
      <c r="F28" s="2" t="s">
        <v>10</v>
      </c>
      <c r="G28" s="2">
        <v>0</v>
      </c>
    </row>
    <row r="29" spans="1:7" ht="13.15" thickBot="1" x14ac:dyDescent="0.4">
      <c r="B29" s="1" t="s">
        <v>40</v>
      </c>
      <c r="C29" s="1" t="s">
        <v>66</v>
      </c>
      <c r="D29" s="3">
        <v>92000</v>
      </c>
      <c r="E29" s="1" t="s">
        <v>41</v>
      </c>
      <c r="F29" s="1" t="s">
        <v>11</v>
      </c>
      <c r="G29" s="1">
        <v>4000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1E89F0-5F63-4B62-8818-9F471D55B3BF}">
  <sheetPr codeName="Sheet3"/>
  <dimension ref="A1:H17"/>
  <sheetViews>
    <sheetView showGridLines="0" workbookViewId="0"/>
  </sheetViews>
  <sheetFormatPr defaultRowHeight="12.75" x14ac:dyDescent="0.35"/>
  <cols>
    <col min="1" max="1" width="2.1328125" customWidth="1"/>
    <col min="2" max="2" width="6.06640625" bestFit="1" customWidth="1"/>
    <col min="3" max="3" width="23.265625" bestFit="1" customWidth="1"/>
    <col min="4" max="4" width="6.73046875" bestFit="1" customWidth="1"/>
    <col min="5" max="5" width="8.46484375" bestFit="1" customWidth="1"/>
    <col min="6" max="6" width="10.19921875" bestFit="1" customWidth="1"/>
    <col min="7" max="8" width="11.73046875" bestFit="1" customWidth="1"/>
  </cols>
  <sheetData>
    <row r="1" spans="1:8" ht="13.15" x14ac:dyDescent="0.4">
      <c r="A1" s="5" t="s">
        <v>67</v>
      </c>
    </row>
    <row r="2" spans="1:8" ht="13.15" x14ac:dyDescent="0.4">
      <c r="A2" s="5" t="s">
        <v>49</v>
      </c>
    </row>
    <row r="3" spans="1:8" ht="13.15" x14ac:dyDescent="0.4">
      <c r="A3" s="5" t="s">
        <v>68</v>
      </c>
    </row>
    <row r="6" spans="1:8" ht="13.15" thickBot="1" x14ac:dyDescent="0.4">
      <c r="A6" t="s">
        <v>59</v>
      </c>
    </row>
    <row r="7" spans="1:8" ht="13.15" x14ac:dyDescent="0.4">
      <c r="B7" s="26"/>
      <c r="C7" s="26"/>
      <c r="D7" s="26" t="s">
        <v>12</v>
      </c>
      <c r="E7" s="26" t="s">
        <v>13</v>
      </c>
      <c r="F7" s="26" t="s">
        <v>14</v>
      </c>
      <c r="G7" s="26" t="s">
        <v>15</v>
      </c>
      <c r="H7" s="26" t="s">
        <v>15</v>
      </c>
    </row>
    <row r="8" spans="1:8" ht="13.5" thickBot="1" x14ac:dyDescent="0.45">
      <c r="B8" s="27" t="s">
        <v>0</v>
      </c>
      <c r="C8" s="27" t="s">
        <v>1</v>
      </c>
      <c r="D8" s="27" t="s">
        <v>16</v>
      </c>
      <c r="E8" s="27" t="s">
        <v>17</v>
      </c>
      <c r="F8" s="27" t="s">
        <v>18</v>
      </c>
      <c r="G8" s="27" t="s">
        <v>19</v>
      </c>
      <c r="H8" s="27" t="s">
        <v>20</v>
      </c>
    </row>
    <row r="9" spans="1:8" x14ac:dyDescent="0.35">
      <c r="B9" s="2" t="s">
        <v>34</v>
      </c>
      <c r="C9" s="2" t="s">
        <v>61</v>
      </c>
      <c r="D9" s="2">
        <v>1000</v>
      </c>
      <c r="E9" s="2">
        <v>0</v>
      </c>
      <c r="F9" s="2">
        <v>200</v>
      </c>
      <c r="G9" s="2">
        <v>24.000000000000004</v>
      </c>
      <c r="H9" s="2">
        <v>88</v>
      </c>
    </row>
    <row r="10" spans="1:8" ht="13.15" thickBot="1" x14ac:dyDescent="0.4">
      <c r="B10" s="1" t="s">
        <v>35</v>
      </c>
      <c r="C10" s="1" t="s">
        <v>63</v>
      </c>
      <c r="D10" s="1">
        <v>800</v>
      </c>
      <c r="E10" s="1">
        <v>0</v>
      </c>
      <c r="F10" s="1">
        <v>280</v>
      </c>
      <c r="G10" s="1">
        <v>219.99999999999997</v>
      </c>
      <c r="H10" s="1">
        <v>30</v>
      </c>
    </row>
    <row r="12" spans="1:8" ht="13.15" thickBot="1" x14ac:dyDescent="0.4">
      <c r="A12" t="s">
        <v>5</v>
      </c>
    </row>
    <row r="13" spans="1:8" ht="13.15" x14ac:dyDescent="0.4">
      <c r="B13" s="26"/>
      <c r="C13" s="26"/>
      <c r="D13" s="26" t="s">
        <v>12</v>
      </c>
      <c r="E13" s="26" t="s">
        <v>21</v>
      </c>
      <c r="F13" s="26" t="s">
        <v>22</v>
      </c>
      <c r="G13" s="26" t="s">
        <v>15</v>
      </c>
      <c r="H13" s="26" t="s">
        <v>15</v>
      </c>
    </row>
    <row r="14" spans="1:8" ht="13.5" thickBot="1" x14ac:dyDescent="0.45">
      <c r="B14" s="27" t="s">
        <v>0</v>
      </c>
      <c r="C14" s="27" t="s">
        <v>1</v>
      </c>
      <c r="D14" s="27" t="s">
        <v>16</v>
      </c>
      <c r="E14" s="27" t="s">
        <v>23</v>
      </c>
      <c r="F14" s="27" t="s">
        <v>24</v>
      </c>
      <c r="G14" s="27" t="s">
        <v>19</v>
      </c>
      <c r="H14" s="27" t="s">
        <v>20</v>
      </c>
    </row>
    <row r="15" spans="1:8" x14ac:dyDescent="0.35">
      <c r="B15" s="2" t="s">
        <v>36</v>
      </c>
      <c r="C15" s="2" t="s">
        <v>64</v>
      </c>
      <c r="D15" s="2">
        <v>40000</v>
      </c>
      <c r="E15" s="2">
        <v>8.8000000000000007</v>
      </c>
      <c r="F15" s="2">
        <v>40000</v>
      </c>
      <c r="G15" s="2">
        <v>909.09090909090901</v>
      </c>
      <c r="H15" s="2">
        <v>10000</v>
      </c>
    </row>
    <row r="16" spans="1:8" x14ac:dyDescent="0.35">
      <c r="B16" s="2" t="s">
        <v>38</v>
      </c>
      <c r="C16" s="2" t="s">
        <v>65</v>
      </c>
      <c r="D16" s="2">
        <v>120000</v>
      </c>
      <c r="E16" s="2">
        <v>0.60000000000000009</v>
      </c>
      <c r="F16" s="2">
        <v>120000</v>
      </c>
      <c r="G16" s="2">
        <v>40000</v>
      </c>
      <c r="H16" s="2">
        <v>5714.2857142857138</v>
      </c>
    </row>
    <row r="17" spans="2:8" ht="13.15" thickBot="1" x14ac:dyDescent="0.4">
      <c r="B17" s="1" t="s">
        <v>40</v>
      </c>
      <c r="C17" s="1" t="s">
        <v>66</v>
      </c>
      <c r="D17" s="1">
        <v>92000</v>
      </c>
      <c r="E17" s="1">
        <v>0</v>
      </c>
      <c r="F17" s="1">
        <v>96000</v>
      </c>
      <c r="G17" s="1">
        <v>1E+30</v>
      </c>
      <c r="H17" s="1">
        <v>4000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Model</vt:lpstr>
      <vt:lpstr>Answer Report 1</vt:lpstr>
      <vt:lpstr>Sensitivity Report 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USB Max Problem</dc:title>
  <dc:creator>Herb Lewis</dc:creator>
  <cp:lastModifiedBy>Mahmudur Rahman</cp:lastModifiedBy>
  <dcterms:created xsi:type="dcterms:W3CDTF">1999-02-11T13:47:40Z</dcterms:created>
  <dcterms:modified xsi:type="dcterms:W3CDTF">2022-04-25T16:35:57Z</dcterms:modified>
</cp:coreProperties>
</file>